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hmedsallam/Documents/Measles_KSA/data/"/>
    </mc:Choice>
  </mc:AlternateContent>
  <xr:revisionPtr revIDLastSave="0" documentId="13_ncr:1_{A4C8AEAC-5204-B945-8A35-F153161B28A0}" xr6:coauthVersionLast="47" xr6:coauthVersionMax="47" xr10:uidLastSave="{00000000-0000-0000-0000-000000000000}"/>
  <bookViews>
    <workbookView xWindow="0" yWindow="660" windowWidth="30240" windowHeight="17420" xr2:uid="{00000000-000D-0000-FFFF-FFFF00000000}"/>
  </bookViews>
  <sheets>
    <sheet name="Sheet1" sheetId="10" r:id="rId1"/>
  </sheets>
  <definedNames>
    <definedName name="_Hlk199363325" localSheetId="0">Sheet1!$C$66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0" l="1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C77" i="10"/>
  <c r="D77" i="10"/>
  <c r="E77" i="10"/>
  <c r="F77" i="10"/>
  <c r="G77" i="10"/>
  <c r="B77" i="10"/>
  <c r="G68" i="10"/>
  <c r="G69" i="10"/>
  <c r="G70" i="10"/>
  <c r="G71" i="10"/>
  <c r="G72" i="10"/>
  <c r="G73" i="10"/>
  <c r="G74" i="10"/>
  <c r="G75" i="10"/>
  <c r="G76" i="10"/>
  <c r="G67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B61" i="10"/>
  <c r="N52" i="10"/>
  <c r="N53" i="10"/>
  <c r="N54" i="10"/>
  <c r="N55" i="10"/>
  <c r="N56" i="10"/>
  <c r="N57" i="10"/>
  <c r="N58" i="10"/>
  <c r="N59" i="10"/>
  <c r="N60" i="10"/>
  <c r="N51" i="10"/>
  <c r="M22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K47" i="10"/>
  <c r="J47" i="10"/>
  <c r="I47" i="10"/>
  <c r="H47" i="10"/>
  <c r="G47" i="10"/>
  <c r="F47" i="10"/>
  <c r="E47" i="10"/>
  <c r="D47" i="10"/>
  <c r="C47" i="10"/>
  <c r="B47" i="10"/>
  <c r="C22" i="10"/>
  <c r="D22" i="10"/>
  <c r="E22" i="10"/>
  <c r="F22" i="10"/>
  <c r="G22" i="10"/>
  <c r="H22" i="10"/>
  <c r="I22" i="10"/>
  <c r="J22" i="10"/>
  <c r="K22" i="10"/>
  <c r="B2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</calcChain>
</file>

<file path=xl/sharedStrings.xml><?xml version="1.0" encoding="utf-8"?>
<sst xmlns="http://schemas.openxmlformats.org/spreadsheetml/2006/main" count="71" uniqueCount="47">
  <si>
    <t>AAIR</t>
  </si>
  <si>
    <t>Riyadh</t>
  </si>
  <si>
    <t>Makkah</t>
  </si>
  <si>
    <t>Jeddah</t>
  </si>
  <si>
    <t>Ta`if</t>
  </si>
  <si>
    <t>Medinah</t>
  </si>
  <si>
    <t>Qaseem</t>
  </si>
  <si>
    <t>Eastern</t>
  </si>
  <si>
    <t>Al-Ahsa</t>
  </si>
  <si>
    <t>Hafr Al-Baten</t>
  </si>
  <si>
    <t>Aseer</t>
  </si>
  <si>
    <t>Bishah</t>
  </si>
  <si>
    <t>Tabouk</t>
  </si>
  <si>
    <t>Ha`il</t>
  </si>
  <si>
    <t>Northern</t>
  </si>
  <si>
    <t>Jazan</t>
  </si>
  <si>
    <t>Najran</t>
  </si>
  <si>
    <t>Al-Bahah</t>
  </si>
  <si>
    <t>Al-Jouf</t>
  </si>
  <si>
    <t>Qurayyat</t>
  </si>
  <si>
    <t>Qunfudah</t>
  </si>
  <si>
    <t>Jan</t>
  </si>
  <si>
    <t>May</t>
  </si>
  <si>
    <t>Region</t>
  </si>
  <si>
    <t>Total</t>
  </si>
  <si>
    <t>Ta'if</t>
  </si>
  <si>
    <t>Ha'il</t>
  </si>
  <si>
    <t>KSA population by city from 2014 to 2023</t>
  </si>
  <si>
    <t>Avarage</t>
  </si>
  <si>
    <t>Year</t>
  </si>
  <si>
    <t>Feb.</t>
  </si>
  <si>
    <t>Mar.</t>
  </si>
  <si>
    <t>Apr.</t>
  </si>
  <si>
    <t>June</t>
  </si>
  <si>
    <t>July</t>
  </si>
  <si>
    <t>Aug.</t>
  </si>
  <si>
    <t>Sep.</t>
  </si>
  <si>
    <t>Oct.</t>
  </si>
  <si>
    <t>Nov.</t>
  </si>
  <si>
    <t>Dec.</t>
  </si>
  <si>
    <t xml:space="preserve">Total </t>
  </si>
  <si>
    <t>Age group (years)</t>
  </si>
  <si>
    <t>&lt;1</t>
  </si>
  <si>
    <t>1 - &lt; 5</t>
  </si>
  <si>
    <t>5 - &lt; 15</t>
  </si>
  <si>
    <t>15 - &lt; 45</t>
  </si>
  <si>
    <t>≥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</si>
</sst>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>
    <font>
      <sz val="11"/>
      <name val="Carlito"/>
    </font>
    <font>
      <sz val="11"/>
      <name val="Carlito"/>
    </font>
    <font>
      <sz val="10"/>
      <name val="Times New Roman"/>
      <family val="1"/>
    </font>
    <font>
      <b/>
      <sz val="11"/>
      <name val="Carlito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Carlito"/>
    </font>
    <font>
      <b/>
      <sz val="11"/>
      <color theme="0"/>
      <name val="Aptot"/>
    </font>
    <font>
      <sz val="11"/>
      <name val="Aptot"/>
    </font>
    <font>
      <b/>
      <sz val="11"/>
      <name val="Aptot"/>
    </font>
    <font>
      <b/>
      <sz val="11"/>
      <color rgb="FF000000"/>
      <name val="Aptot"/>
    </font>
    <font>
      <sz val="11"/>
      <color rgb="FF000000"/>
      <name val="Carlito"/>
    </font>
    <font>
      <sz val="11"/>
      <color theme="1"/>
      <name val="Carlito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b/>
      <sz val="11"/>
      <color rgb="FFC00000"/>
      <name val="Times New Roman"/>
      <family val="1"/>
    </font>
    <font>
      <b/>
      <sz val="10"/>
      <color rgb="FFC00000"/>
      <name val="Times New Roman"/>
      <family val="1"/>
    </font>
    <font>
      <b/>
      <sz val="14"/>
      <color rgb="FFD4D4D4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/>
    <xf numFmtId="3" fontId="12" fillId="0" borderId="1" xfId="0" applyNumberFormat="1" applyFont="1" applyBorder="1"/>
    <xf numFmtId="3" fontId="12" fillId="0" borderId="1" xfId="0" applyNumberFormat="1" applyFont="1" applyBorder="1" applyAlignment="1">
      <alignment horizontal="left"/>
    </xf>
    <xf numFmtId="3" fontId="13" fillId="0" borderId="2" xfId="0" applyNumberFormat="1" applyFont="1" applyBorder="1" applyAlignment="1">
      <alignment horizontal="left"/>
    </xf>
    <xf numFmtId="0" fontId="7" fillId="2" borderId="0" xfId="0" applyFont="1" applyFill="1"/>
    <xf numFmtId="2" fontId="4" fillId="0" borderId="2" xfId="0" applyNumberFormat="1" applyFont="1" applyBorder="1" applyAlignment="1">
      <alignment vertical="center" wrapText="1"/>
    </xf>
    <xf numFmtId="0" fontId="3" fillId="3" borderId="0" xfId="0" applyFont="1" applyFill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/>
    </xf>
    <xf numFmtId="43" fontId="11" fillId="0" borderId="2" xfId="1" applyFont="1" applyBorder="1" applyAlignment="1">
      <alignment horizontal="left" vertical="center" wrapText="1"/>
    </xf>
    <xf numFmtId="3" fontId="11" fillId="0" borderId="2" xfId="0" applyNumberFormat="1" applyFont="1" applyBorder="1" applyAlignment="1">
      <alignment horizontal="left" vertical="center" wrapText="1"/>
    </xf>
    <xf numFmtId="2" fontId="16" fillId="3" borderId="2" xfId="0" applyNumberFormat="1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7" fillId="3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/>
    </xf>
    <xf numFmtId="3" fontId="0" fillId="0" borderId="0" xfId="0" applyNumberFormat="1"/>
    <xf numFmtId="0" fontId="18" fillId="0" borderId="0" xfId="0" applyFont="1"/>
    <xf numFmtId="0" fontId="19" fillId="0" borderId="0" xfId="0" applyFont="1" applyAlignment="1">
      <alignment horizontal="left"/>
    </xf>
    <xf numFmtId="3" fontId="1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2D2E-49D5-B64B-90A5-706E862B3BB6}">
  <dimension ref="A1:V80"/>
  <sheetViews>
    <sheetView tabSelected="1" zoomScale="94" zoomScaleNormal="90" workbookViewId="0">
      <selection activeCell="Q50" sqref="Q50"/>
    </sheetView>
  </sheetViews>
  <sheetFormatPr baseColWidth="10" defaultRowHeight="14"/>
  <cols>
    <col min="1" max="1" width="24.83203125" customWidth="1"/>
    <col min="2" max="4" width="13.6640625" bestFit="1" customWidth="1"/>
    <col min="5" max="11" width="12.6640625" bestFit="1" customWidth="1"/>
    <col min="13" max="13" width="11.6640625" bestFit="1" customWidth="1"/>
    <col min="16" max="16" width="12" bestFit="1" customWidth="1"/>
    <col min="17" max="17" width="13" bestFit="1" customWidth="1"/>
    <col min="18" max="18" width="12.83203125" bestFit="1" customWidth="1"/>
    <col min="19" max="19" width="9.1640625" customWidth="1"/>
    <col min="20" max="20" width="10.1640625" customWidth="1"/>
    <col min="21" max="21" width="19.6640625" bestFit="1" customWidth="1"/>
    <col min="22" max="22" width="19.83203125" bestFit="1" customWidth="1"/>
  </cols>
  <sheetData>
    <row r="1" spans="1:22" ht="15">
      <c r="A1" s="2" t="s">
        <v>23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 t="s">
        <v>24</v>
      </c>
      <c r="M1" s="2" t="s">
        <v>0</v>
      </c>
    </row>
    <row r="2" spans="1:22" ht="15">
      <c r="A2" s="15" t="s">
        <v>1</v>
      </c>
      <c r="B2" s="1">
        <v>15</v>
      </c>
      <c r="C2" s="1">
        <v>11</v>
      </c>
      <c r="D2" s="1">
        <v>5</v>
      </c>
      <c r="E2" s="1">
        <v>45</v>
      </c>
      <c r="F2" s="1">
        <v>272</v>
      </c>
      <c r="G2" s="1">
        <v>21</v>
      </c>
      <c r="H2" s="1">
        <v>23</v>
      </c>
      <c r="I2" s="1">
        <v>1</v>
      </c>
      <c r="J2" s="1">
        <v>50</v>
      </c>
      <c r="K2" s="1">
        <v>1157</v>
      </c>
      <c r="L2" s="1">
        <f>SUM(B2:K2)</f>
        <v>1600</v>
      </c>
      <c r="M2" s="22">
        <f>(L2/(L27*10))*(100000)</f>
        <v>1.9180639752736619</v>
      </c>
      <c r="R2" s="28"/>
      <c r="S2" s="28"/>
      <c r="V2" s="28"/>
    </row>
    <row r="3" spans="1:22" ht="18">
      <c r="A3" s="15" t="s">
        <v>2</v>
      </c>
      <c r="B3" s="1">
        <v>6</v>
      </c>
      <c r="C3" s="1">
        <v>15</v>
      </c>
      <c r="D3" s="1">
        <v>5</v>
      </c>
      <c r="E3" s="1">
        <v>18</v>
      </c>
      <c r="F3" s="1">
        <v>32</v>
      </c>
      <c r="G3" s="1">
        <v>13</v>
      </c>
      <c r="H3" s="1">
        <v>0</v>
      </c>
      <c r="I3" s="1">
        <v>297</v>
      </c>
      <c r="J3" s="1">
        <v>72</v>
      </c>
      <c r="K3" s="1">
        <v>87</v>
      </c>
      <c r="L3" s="1">
        <f t="shared" ref="L3:L21" si="0">SUM(B3:K3)</f>
        <v>545</v>
      </c>
      <c r="M3" s="22">
        <f t="shared" ref="M3:M21" si="1">(L3/(L28*10))*(100000)</f>
        <v>2.2784375236335634</v>
      </c>
      <c r="P3" s="29"/>
      <c r="Q3" s="29"/>
      <c r="R3" s="29"/>
      <c r="S3" s="29"/>
      <c r="T3" s="29"/>
      <c r="U3" s="29"/>
      <c r="V3" s="29"/>
    </row>
    <row r="4" spans="1:22" ht="18">
      <c r="A4" s="15" t="s">
        <v>3</v>
      </c>
      <c r="B4" s="1">
        <v>52</v>
      </c>
      <c r="C4" s="1">
        <v>11</v>
      </c>
      <c r="D4" s="1">
        <v>3</v>
      </c>
      <c r="E4" s="1">
        <v>65</v>
      </c>
      <c r="F4" s="1">
        <v>231</v>
      </c>
      <c r="G4" s="1">
        <v>17</v>
      </c>
      <c r="H4" s="1">
        <v>7</v>
      </c>
      <c r="I4" s="1">
        <v>14</v>
      </c>
      <c r="J4" s="1">
        <v>22</v>
      </c>
      <c r="K4" s="1">
        <v>67</v>
      </c>
      <c r="L4" s="1">
        <f t="shared" si="0"/>
        <v>489</v>
      </c>
      <c r="M4" s="22">
        <f t="shared" si="1"/>
        <v>1.0838026579318232</v>
      </c>
      <c r="P4" s="30"/>
      <c r="Q4" s="30"/>
      <c r="R4" s="31"/>
      <c r="S4" s="31"/>
      <c r="T4" s="30"/>
      <c r="U4" s="30"/>
      <c r="V4" s="31"/>
    </row>
    <row r="5" spans="1:22" ht="18">
      <c r="A5" s="15" t="s">
        <v>4</v>
      </c>
      <c r="B5" s="1">
        <v>11</v>
      </c>
      <c r="C5" s="1">
        <v>6</v>
      </c>
      <c r="D5" s="1">
        <v>4</v>
      </c>
      <c r="E5" s="1">
        <v>8</v>
      </c>
      <c r="F5" s="1">
        <v>72</v>
      </c>
      <c r="G5" s="1">
        <v>4</v>
      </c>
      <c r="H5" s="1">
        <v>0</v>
      </c>
      <c r="I5" s="1">
        <v>2</v>
      </c>
      <c r="J5" s="1">
        <v>1</v>
      </c>
      <c r="K5" s="1">
        <v>52</v>
      </c>
      <c r="L5" s="1">
        <f t="shared" si="0"/>
        <v>160</v>
      </c>
      <c r="M5" s="22">
        <f t="shared" si="1"/>
        <v>1.2563678217817118</v>
      </c>
      <c r="P5" s="30"/>
      <c r="Q5" s="30"/>
      <c r="R5" s="31"/>
      <c r="S5" s="31"/>
      <c r="T5" s="30"/>
      <c r="U5" s="30"/>
      <c r="V5" s="31"/>
    </row>
    <row r="6" spans="1:22" ht="18">
      <c r="A6" s="15" t="s">
        <v>5</v>
      </c>
      <c r="B6" s="1">
        <v>11</v>
      </c>
      <c r="C6" s="1">
        <v>60</v>
      </c>
      <c r="D6" s="1">
        <v>28</v>
      </c>
      <c r="E6" s="1">
        <v>9</v>
      </c>
      <c r="F6" s="1">
        <v>34</v>
      </c>
      <c r="G6" s="1">
        <v>23</v>
      </c>
      <c r="H6" s="1">
        <v>1</v>
      </c>
      <c r="I6" s="1">
        <v>0</v>
      </c>
      <c r="J6" s="1">
        <v>3</v>
      </c>
      <c r="K6" s="1">
        <v>131</v>
      </c>
      <c r="L6" s="1">
        <f t="shared" si="0"/>
        <v>300</v>
      </c>
      <c r="M6" s="22">
        <f t="shared" si="1"/>
        <v>1.3970548035726977</v>
      </c>
      <c r="P6" s="30"/>
      <c r="Q6" s="30"/>
      <c r="R6" s="31"/>
      <c r="S6" s="31"/>
      <c r="T6" s="31"/>
      <c r="U6" s="30"/>
      <c r="V6" s="31"/>
    </row>
    <row r="7" spans="1:22" ht="18">
      <c r="A7" s="15" t="s">
        <v>6</v>
      </c>
      <c r="B7" s="1">
        <v>5</v>
      </c>
      <c r="C7" s="1">
        <v>2</v>
      </c>
      <c r="D7" s="1">
        <v>6</v>
      </c>
      <c r="E7" s="1">
        <v>0</v>
      </c>
      <c r="F7" s="1">
        <v>20</v>
      </c>
      <c r="G7" s="1">
        <v>26</v>
      </c>
      <c r="H7" s="1">
        <v>0</v>
      </c>
      <c r="I7" s="1">
        <v>0</v>
      </c>
      <c r="J7" s="1">
        <v>1</v>
      </c>
      <c r="K7" s="1">
        <v>144</v>
      </c>
      <c r="L7" s="1">
        <f t="shared" si="0"/>
        <v>204</v>
      </c>
      <c r="M7" s="22">
        <f t="shared" si="1"/>
        <v>1.4384831618141953</v>
      </c>
      <c r="P7" s="30"/>
      <c r="Q7" s="30"/>
      <c r="R7" s="31"/>
      <c r="S7" s="31"/>
      <c r="T7" s="31"/>
      <c r="U7" s="30"/>
      <c r="V7" s="31"/>
    </row>
    <row r="8" spans="1:22" ht="18">
      <c r="A8" s="15" t="s">
        <v>7</v>
      </c>
      <c r="B8" s="1">
        <v>23</v>
      </c>
      <c r="C8" s="1">
        <v>8</v>
      </c>
      <c r="D8" s="1">
        <v>10</v>
      </c>
      <c r="E8" s="1">
        <v>17</v>
      </c>
      <c r="F8" s="1">
        <v>72</v>
      </c>
      <c r="G8" s="1">
        <v>4</v>
      </c>
      <c r="H8" s="1">
        <v>1</v>
      </c>
      <c r="I8" s="1">
        <v>1</v>
      </c>
      <c r="J8" s="1">
        <v>26</v>
      </c>
      <c r="K8" s="1">
        <v>92</v>
      </c>
      <c r="L8" s="1">
        <f t="shared" si="0"/>
        <v>254</v>
      </c>
      <c r="M8" s="22">
        <f t="shared" si="1"/>
        <v>0.76725132123547157</v>
      </c>
      <c r="P8" s="30"/>
      <c r="Q8" s="30"/>
      <c r="R8" s="31"/>
      <c r="S8" s="31"/>
      <c r="T8" s="31"/>
      <c r="U8" s="30"/>
      <c r="V8" s="31"/>
    </row>
    <row r="9" spans="1:22" ht="18">
      <c r="A9" s="15" t="s">
        <v>8</v>
      </c>
      <c r="B9" s="1">
        <v>4</v>
      </c>
      <c r="C9" s="1">
        <v>1</v>
      </c>
      <c r="D9" s="1">
        <v>2</v>
      </c>
      <c r="E9" s="1">
        <v>3</v>
      </c>
      <c r="F9" s="1">
        <v>13</v>
      </c>
      <c r="G9" s="1">
        <v>2</v>
      </c>
      <c r="H9" s="1">
        <v>0</v>
      </c>
      <c r="I9" s="1">
        <v>0</v>
      </c>
      <c r="J9" s="1">
        <v>3</v>
      </c>
      <c r="K9" s="1">
        <v>23</v>
      </c>
      <c r="L9" s="1">
        <f t="shared" si="0"/>
        <v>51</v>
      </c>
      <c r="M9" s="22">
        <f t="shared" si="1"/>
        <v>0.42035254720868187</v>
      </c>
      <c r="P9" s="30"/>
      <c r="Q9" s="30"/>
      <c r="R9" s="31"/>
      <c r="S9" s="31"/>
      <c r="T9" s="31"/>
      <c r="U9" s="30"/>
      <c r="V9" s="31"/>
    </row>
    <row r="10" spans="1:22" ht="18">
      <c r="A10" s="15" t="s">
        <v>9</v>
      </c>
      <c r="B10" s="1">
        <v>1</v>
      </c>
      <c r="C10" s="1">
        <v>0</v>
      </c>
      <c r="D10" s="1">
        <v>0</v>
      </c>
      <c r="E10" s="1">
        <v>0</v>
      </c>
      <c r="F10" s="1">
        <v>18</v>
      </c>
      <c r="G10" s="1">
        <v>2</v>
      </c>
      <c r="H10" s="1">
        <v>0</v>
      </c>
      <c r="I10" s="1">
        <v>0</v>
      </c>
      <c r="J10" s="1">
        <v>6</v>
      </c>
      <c r="K10" s="1">
        <v>9</v>
      </c>
      <c r="L10" s="1">
        <f t="shared" si="0"/>
        <v>36</v>
      </c>
      <c r="M10" s="22">
        <f t="shared" si="1"/>
        <v>0.78894235921378386</v>
      </c>
      <c r="P10" s="30"/>
      <c r="Q10" s="30"/>
      <c r="R10" s="31"/>
      <c r="S10" s="30"/>
      <c r="T10" s="30"/>
      <c r="U10" s="30"/>
      <c r="V10" s="31"/>
    </row>
    <row r="11" spans="1:22" ht="18">
      <c r="A11" s="15" t="s">
        <v>10</v>
      </c>
      <c r="B11" s="1">
        <v>2</v>
      </c>
      <c r="C11" s="1">
        <v>3</v>
      </c>
      <c r="D11" s="1">
        <v>5</v>
      </c>
      <c r="E11" s="1">
        <v>27</v>
      </c>
      <c r="F11" s="1">
        <v>130</v>
      </c>
      <c r="G11" s="1">
        <v>30</v>
      </c>
      <c r="H11" s="1">
        <v>0</v>
      </c>
      <c r="I11" s="1">
        <v>6</v>
      </c>
      <c r="J11" s="1">
        <v>8</v>
      </c>
      <c r="K11" s="1">
        <v>42</v>
      </c>
      <c r="L11" s="1">
        <f t="shared" si="0"/>
        <v>253</v>
      </c>
      <c r="M11" s="22">
        <f t="shared" si="1"/>
        <v>1.3925437811911918</v>
      </c>
      <c r="P11" s="30"/>
      <c r="Q11" s="30"/>
      <c r="R11" s="31"/>
      <c r="S11" s="30"/>
      <c r="T11" s="31"/>
      <c r="U11" s="30"/>
      <c r="V11" s="31"/>
    </row>
    <row r="12" spans="1:22" ht="18">
      <c r="A12" s="15" t="s">
        <v>11</v>
      </c>
      <c r="B12" s="1">
        <v>0</v>
      </c>
      <c r="C12" s="1">
        <v>0</v>
      </c>
      <c r="D12" s="1">
        <v>1</v>
      </c>
      <c r="E12" s="1">
        <v>0</v>
      </c>
      <c r="F12" s="1">
        <v>22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f t="shared" si="0"/>
        <v>25</v>
      </c>
      <c r="M12" s="22">
        <f t="shared" si="1"/>
        <v>0.66215202586736621</v>
      </c>
      <c r="P12" s="30"/>
      <c r="Q12" s="30"/>
      <c r="R12" s="31"/>
      <c r="S12" s="30"/>
      <c r="T12" s="31"/>
      <c r="U12" s="30"/>
      <c r="V12" s="31"/>
    </row>
    <row r="13" spans="1:22" ht="18">
      <c r="A13" s="15" t="s">
        <v>12</v>
      </c>
      <c r="B13" s="1">
        <v>2</v>
      </c>
      <c r="C13" s="1">
        <v>12</v>
      </c>
      <c r="D13" s="1">
        <v>6</v>
      </c>
      <c r="E13" s="1">
        <v>7</v>
      </c>
      <c r="F13" s="1">
        <v>9</v>
      </c>
      <c r="G13" s="1">
        <v>14</v>
      </c>
      <c r="H13" s="1">
        <v>0</v>
      </c>
      <c r="I13" s="1">
        <v>1</v>
      </c>
      <c r="J13" s="1">
        <v>6</v>
      </c>
      <c r="K13" s="1">
        <v>59</v>
      </c>
      <c r="L13" s="1">
        <f t="shared" si="0"/>
        <v>116</v>
      </c>
      <c r="M13" s="22">
        <f t="shared" si="1"/>
        <v>1.2680611257934129</v>
      </c>
      <c r="P13" s="30"/>
      <c r="Q13" s="30"/>
      <c r="R13" s="31"/>
      <c r="S13" s="30"/>
      <c r="T13" s="31"/>
      <c r="U13" s="30"/>
      <c r="V13" s="31"/>
    </row>
    <row r="14" spans="1:22" ht="18">
      <c r="A14" s="15" t="s">
        <v>13</v>
      </c>
      <c r="B14" s="1">
        <v>1</v>
      </c>
      <c r="C14" s="1">
        <v>29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4</v>
      </c>
      <c r="K14" s="1">
        <v>12</v>
      </c>
      <c r="L14" s="1">
        <f t="shared" si="0"/>
        <v>46</v>
      </c>
      <c r="M14" s="22">
        <f t="shared" si="1"/>
        <v>0.64392798309437072</v>
      </c>
      <c r="P14" s="30"/>
      <c r="Q14" s="30"/>
      <c r="R14" s="31"/>
      <c r="S14" s="30"/>
      <c r="T14" s="31"/>
      <c r="U14" s="30"/>
      <c r="V14" s="31"/>
    </row>
    <row r="15" spans="1:22" ht="18">
      <c r="A15" s="15" t="s">
        <v>14</v>
      </c>
      <c r="B15" s="1">
        <v>2</v>
      </c>
      <c r="C15" s="1">
        <v>3</v>
      </c>
      <c r="D15" s="1">
        <v>8</v>
      </c>
      <c r="E15" s="1">
        <v>5</v>
      </c>
      <c r="F15" s="1">
        <v>3</v>
      </c>
      <c r="G15" s="1">
        <v>2</v>
      </c>
      <c r="H15" s="1">
        <v>0</v>
      </c>
      <c r="I15" s="1">
        <v>2</v>
      </c>
      <c r="J15" s="1">
        <v>18</v>
      </c>
      <c r="K15" s="1">
        <v>12</v>
      </c>
      <c r="L15" s="1">
        <f t="shared" si="0"/>
        <v>55</v>
      </c>
      <c r="M15" s="22">
        <f t="shared" si="1"/>
        <v>1.477371503598877</v>
      </c>
      <c r="P15" s="30"/>
      <c r="Q15" s="30"/>
      <c r="R15" s="31"/>
      <c r="S15" s="30"/>
      <c r="T15" s="30"/>
      <c r="U15" s="30"/>
      <c r="V15" s="31"/>
    </row>
    <row r="16" spans="1:22" ht="18">
      <c r="A16" s="15" t="s">
        <v>15</v>
      </c>
      <c r="B16" s="1">
        <v>3</v>
      </c>
      <c r="C16" s="1">
        <v>5</v>
      </c>
      <c r="D16" s="1">
        <v>7</v>
      </c>
      <c r="E16" s="1">
        <v>64</v>
      </c>
      <c r="F16" s="1">
        <v>80</v>
      </c>
      <c r="G16" s="1">
        <v>109</v>
      </c>
      <c r="H16" s="1">
        <v>2</v>
      </c>
      <c r="I16" s="1">
        <v>2</v>
      </c>
      <c r="J16" s="1">
        <v>10</v>
      </c>
      <c r="K16" s="1">
        <v>40</v>
      </c>
      <c r="L16" s="1">
        <f t="shared" si="0"/>
        <v>322</v>
      </c>
      <c r="M16" s="22">
        <f t="shared" si="1"/>
        <v>2.0736704262783761</v>
      </c>
      <c r="P16" s="30"/>
      <c r="Q16" s="30"/>
      <c r="R16" s="31"/>
      <c r="S16" s="30"/>
      <c r="T16" s="31"/>
      <c r="U16" s="30"/>
      <c r="V16" s="31"/>
    </row>
    <row r="17" spans="1:22" ht="18">
      <c r="A17" s="15" t="s">
        <v>16</v>
      </c>
      <c r="B17" s="1">
        <v>12</v>
      </c>
      <c r="C17" s="1">
        <v>48</v>
      </c>
      <c r="D17" s="1">
        <v>14</v>
      </c>
      <c r="E17" s="1">
        <v>183</v>
      </c>
      <c r="F17" s="1">
        <v>18</v>
      </c>
      <c r="G17" s="1">
        <v>21</v>
      </c>
      <c r="H17" s="1">
        <v>0</v>
      </c>
      <c r="I17" s="1">
        <v>0</v>
      </c>
      <c r="J17" s="1">
        <v>2</v>
      </c>
      <c r="K17" s="1">
        <v>305</v>
      </c>
      <c r="L17" s="1">
        <f t="shared" si="0"/>
        <v>603</v>
      </c>
      <c r="M17" s="22">
        <f t="shared" si="1"/>
        <v>10.209053652894207</v>
      </c>
      <c r="P17" s="30"/>
      <c r="Q17" s="30"/>
      <c r="R17" s="31"/>
      <c r="S17" s="30"/>
      <c r="T17" s="31"/>
      <c r="U17" s="30"/>
      <c r="V17" s="31"/>
    </row>
    <row r="18" spans="1:22" ht="18">
      <c r="A18" s="15" t="s">
        <v>17</v>
      </c>
      <c r="B18" s="1">
        <v>0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0</v>
      </c>
      <c r="I18" s="1">
        <v>0</v>
      </c>
      <c r="J18" s="1">
        <v>5</v>
      </c>
      <c r="K18" s="1">
        <v>6</v>
      </c>
      <c r="L18" s="1">
        <f t="shared" si="0"/>
        <v>16</v>
      </c>
      <c r="M18" s="22">
        <f t="shared" si="1"/>
        <v>0.35310188975717627</v>
      </c>
      <c r="P18" s="30"/>
      <c r="Q18" s="30"/>
      <c r="R18" s="31"/>
      <c r="S18" s="30"/>
      <c r="T18" s="31"/>
      <c r="U18" s="30"/>
      <c r="V18" s="31"/>
    </row>
    <row r="19" spans="1:22" ht="18">
      <c r="A19" s="15" t="s">
        <v>18</v>
      </c>
      <c r="B19" s="1">
        <v>3</v>
      </c>
      <c r="C19" s="1">
        <v>3</v>
      </c>
      <c r="D19" s="1">
        <v>13</v>
      </c>
      <c r="E19" s="1">
        <v>5</v>
      </c>
      <c r="F19" s="1">
        <v>25</v>
      </c>
      <c r="G19" s="1">
        <v>510</v>
      </c>
      <c r="H19" s="1">
        <v>0</v>
      </c>
      <c r="I19" s="1">
        <v>0</v>
      </c>
      <c r="J19" s="1">
        <v>3</v>
      </c>
      <c r="K19" s="1">
        <v>5</v>
      </c>
      <c r="L19" s="1">
        <f t="shared" si="0"/>
        <v>567</v>
      </c>
      <c r="M19" s="22">
        <f t="shared" si="1"/>
        <v>15.967099327185297</v>
      </c>
      <c r="P19" s="30"/>
      <c r="Q19" s="30"/>
      <c r="R19" s="31"/>
      <c r="S19" s="30"/>
      <c r="T19" s="31"/>
      <c r="U19" s="30"/>
      <c r="V19" s="31"/>
    </row>
    <row r="20" spans="1:22" ht="18">
      <c r="A20" s="15" t="s">
        <v>19</v>
      </c>
      <c r="B20" s="1">
        <v>1</v>
      </c>
      <c r="C20" s="1">
        <v>0</v>
      </c>
      <c r="D20" s="1">
        <v>7</v>
      </c>
      <c r="E20" s="1">
        <v>0</v>
      </c>
      <c r="F20" s="1">
        <v>90</v>
      </c>
      <c r="G20" s="1">
        <v>207</v>
      </c>
      <c r="H20" s="1">
        <v>0</v>
      </c>
      <c r="I20" s="1">
        <v>1</v>
      </c>
      <c r="J20" s="1">
        <v>5</v>
      </c>
      <c r="K20" s="1">
        <v>6</v>
      </c>
      <c r="L20" s="1">
        <f t="shared" si="0"/>
        <v>317</v>
      </c>
      <c r="M20" s="22">
        <f t="shared" si="1"/>
        <v>17.971540336753787</v>
      </c>
      <c r="P20" s="30"/>
      <c r="Q20" s="30"/>
      <c r="R20" s="31"/>
      <c r="S20" s="30"/>
      <c r="T20" s="30"/>
      <c r="U20" s="30"/>
      <c r="V20" s="31"/>
    </row>
    <row r="21" spans="1:22" ht="18">
      <c r="A21" s="15" t="s">
        <v>20</v>
      </c>
      <c r="B21" s="1">
        <v>0</v>
      </c>
      <c r="C21" s="1">
        <v>1</v>
      </c>
      <c r="D21" s="1">
        <v>0</v>
      </c>
      <c r="E21" s="1">
        <v>0</v>
      </c>
      <c r="F21" s="1">
        <v>14</v>
      </c>
      <c r="G21" s="1">
        <v>18</v>
      </c>
      <c r="H21" s="1">
        <v>0</v>
      </c>
      <c r="I21" s="1">
        <v>0</v>
      </c>
      <c r="J21" s="1">
        <v>1</v>
      </c>
      <c r="K21" s="1">
        <v>4</v>
      </c>
      <c r="L21" s="1">
        <f t="shared" si="0"/>
        <v>38</v>
      </c>
      <c r="M21" s="22">
        <f t="shared" si="1"/>
        <v>1.2431719597984359</v>
      </c>
      <c r="P21" s="30"/>
      <c r="Q21" s="30"/>
      <c r="R21" s="31"/>
      <c r="S21" s="30"/>
      <c r="T21" s="31"/>
      <c r="U21" s="30"/>
      <c r="V21" s="31"/>
    </row>
    <row r="22" spans="1:22" ht="18">
      <c r="A22" s="15" t="s">
        <v>24</v>
      </c>
      <c r="B22" s="1">
        <f>SUM(B2:B21)</f>
        <v>154</v>
      </c>
      <c r="C22" s="1">
        <f t="shared" ref="C22:K22" si="2">SUM(C2:C21)</f>
        <v>219</v>
      </c>
      <c r="D22" s="1">
        <f t="shared" si="2"/>
        <v>125</v>
      </c>
      <c r="E22" s="1">
        <f t="shared" si="2"/>
        <v>457</v>
      </c>
      <c r="F22" s="1">
        <f t="shared" si="2"/>
        <v>1156</v>
      </c>
      <c r="G22" s="1">
        <f t="shared" si="2"/>
        <v>1024</v>
      </c>
      <c r="H22" s="1">
        <f t="shared" si="2"/>
        <v>34</v>
      </c>
      <c r="I22" s="1">
        <f t="shared" si="2"/>
        <v>327</v>
      </c>
      <c r="J22" s="1">
        <f t="shared" si="2"/>
        <v>247</v>
      </c>
      <c r="K22" s="1">
        <f t="shared" si="2"/>
        <v>2254</v>
      </c>
      <c r="L22" s="1"/>
      <c r="M22" s="11">
        <f t="shared" ref="M22" si="3">(L22/L47)*(100000)</f>
        <v>0</v>
      </c>
      <c r="P22" s="30"/>
      <c r="Q22" s="30"/>
      <c r="R22" s="31"/>
      <c r="S22" s="30"/>
      <c r="T22" s="31"/>
      <c r="U22" s="30"/>
      <c r="V22" s="31"/>
    </row>
    <row r="23" spans="1:22" ht="18">
      <c r="P23" s="30"/>
      <c r="Q23" s="30"/>
      <c r="R23" s="31"/>
      <c r="S23" s="30"/>
      <c r="T23" s="31"/>
      <c r="U23" s="30"/>
      <c r="V23" s="31"/>
    </row>
    <row r="24" spans="1:22">
      <c r="P24" s="32"/>
      <c r="Q24" s="32"/>
      <c r="R24" s="32"/>
      <c r="S24" s="32"/>
      <c r="T24" s="32"/>
      <c r="U24" s="32"/>
      <c r="V24" s="32"/>
    </row>
    <row r="25" spans="1:22" ht="15">
      <c r="A25" s="33" t="s">
        <v>27</v>
      </c>
      <c r="B25" s="34"/>
      <c r="C25" s="34"/>
      <c r="D25" s="34"/>
      <c r="E25" s="34"/>
      <c r="F25" s="34"/>
      <c r="G25" s="34"/>
      <c r="H25" s="34"/>
      <c r="I25" s="34"/>
      <c r="J25" s="34"/>
      <c r="K25" s="35"/>
    </row>
    <row r="26" spans="1:22" ht="15">
      <c r="A26" s="3"/>
      <c r="B26" s="3">
        <v>2014</v>
      </c>
      <c r="C26" s="3">
        <v>2015</v>
      </c>
      <c r="D26" s="3">
        <v>2016</v>
      </c>
      <c r="E26" s="3">
        <v>2017</v>
      </c>
      <c r="F26" s="3">
        <v>2018</v>
      </c>
      <c r="G26" s="3">
        <v>2019</v>
      </c>
      <c r="H26" s="3">
        <v>2020</v>
      </c>
      <c r="I26" s="3">
        <v>2021</v>
      </c>
      <c r="J26" s="3">
        <v>2022</v>
      </c>
      <c r="K26" s="3">
        <v>2023</v>
      </c>
      <c r="L26" s="10" t="s">
        <v>28</v>
      </c>
    </row>
    <row r="27" spans="1:22" ht="15">
      <c r="A27" s="4" t="s">
        <v>1</v>
      </c>
      <c r="B27" s="9">
        <v>7717467</v>
      </c>
      <c r="C27" s="9">
        <v>7910864</v>
      </c>
      <c r="D27" s="9">
        <v>8002100</v>
      </c>
      <c r="E27" s="9">
        <v>8216284</v>
      </c>
      <c r="F27" s="9">
        <v>8446866</v>
      </c>
      <c r="G27" s="9">
        <v>8446866</v>
      </c>
      <c r="H27" s="9">
        <v>8872712</v>
      </c>
      <c r="I27" s="9">
        <v>8620792</v>
      </c>
      <c r="J27" s="9">
        <v>8591748</v>
      </c>
      <c r="K27" s="9">
        <v>8591748</v>
      </c>
      <c r="L27" s="12">
        <f>SUM(B27:K27)/10</f>
        <v>8341744.7000000002</v>
      </c>
    </row>
    <row r="28" spans="1:22" ht="15">
      <c r="A28" s="4" t="s">
        <v>2</v>
      </c>
      <c r="B28" s="9">
        <v>2111127</v>
      </c>
      <c r="C28" s="9">
        <v>2165452</v>
      </c>
      <c r="D28" s="9">
        <v>2232923</v>
      </c>
      <c r="E28" s="9">
        <v>2319426</v>
      </c>
      <c r="F28" s="9">
        <v>2386900</v>
      </c>
      <c r="G28" s="9">
        <v>2386900</v>
      </c>
      <c r="H28" s="9">
        <v>2512462</v>
      </c>
      <c r="I28" s="9">
        <v>2449091</v>
      </c>
      <c r="J28" s="9">
        <v>2677810</v>
      </c>
      <c r="K28" s="9">
        <v>2677810</v>
      </c>
      <c r="L28" s="12">
        <f t="shared" ref="L28:L47" si="4">SUM(B28:K28)/10</f>
        <v>2391990.1</v>
      </c>
    </row>
    <row r="29" spans="1:22" ht="15">
      <c r="A29" s="4" t="s">
        <v>3</v>
      </c>
      <c r="B29" s="9">
        <v>4224568</v>
      </c>
      <c r="C29" s="9">
        <v>4336145</v>
      </c>
      <c r="D29" s="9">
        <v>4514968</v>
      </c>
      <c r="E29" s="9">
        <v>4626109</v>
      </c>
      <c r="F29" s="9">
        <v>4767662</v>
      </c>
      <c r="G29" s="9">
        <v>4767662</v>
      </c>
      <c r="H29" s="9">
        <v>5031820</v>
      </c>
      <c r="I29" s="9">
        <v>4906349</v>
      </c>
      <c r="J29" s="9">
        <v>3971816</v>
      </c>
      <c r="K29" s="9">
        <v>3971816</v>
      </c>
      <c r="L29" s="12">
        <f t="shared" si="4"/>
        <v>4511891.5</v>
      </c>
    </row>
    <row r="30" spans="1:22" ht="15">
      <c r="A30" s="4" t="s">
        <v>25</v>
      </c>
      <c r="B30" s="9">
        <v>1257888</v>
      </c>
      <c r="C30" s="9">
        <v>1286743</v>
      </c>
      <c r="D30" s="9">
        <v>1273236</v>
      </c>
      <c r="E30" s="9">
        <v>1301778</v>
      </c>
      <c r="F30" s="9">
        <v>1331913</v>
      </c>
      <c r="G30" s="9">
        <v>1331913</v>
      </c>
      <c r="H30" s="9">
        <v>1387686</v>
      </c>
      <c r="I30" s="9">
        <v>1360825</v>
      </c>
      <c r="J30" s="9">
        <v>1101571</v>
      </c>
      <c r="K30" s="9">
        <v>1101571</v>
      </c>
      <c r="L30" s="12">
        <f t="shared" si="4"/>
        <v>1273512.3999999999</v>
      </c>
    </row>
    <row r="31" spans="1:22" ht="15">
      <c r="A31" s="4" t="s">
        <v>5</v>
      </c>
      <c r="B31" s="9">
        <v>2012749</v>
      </c>
      <c r="C31" s="9">
        <v>2061383</v>
      </c>
      <c r="D31" s="9">
        <v>2080436</v>
      </c>
      <c r="E31" s="9">
        <v>2132679</v>
      </c>
      <c r="F31" s="9">
        <v>2188138</v>
      </c>
      <c r="G31" s="9">
        <v>2188138</v>
      </c>
      <c r="H31" s="9">
        <v>2291092</v>
      </c>
      <c r="I31" s="9">
        <v>2243165</v>
      </c>
      <c r="J31" s="9">
        <v>2137983</v>
      </c>
      <c r="K31" s="9">
        <v>2137983</v>
      </c>
      <c r="L31" s="12">
        <f t="shared" si="4"/>
        <v>2147374.6</v>
      </c>
    </row>
    <row r="32" spans="1:22" ht="15">
      <c r="A32" s="4" t="s">
        <v>6</v>
      </c>
      <c r="B32" s="9">
        <v>1370727</v>
      </c>
      <c r="C32" s="9">
        <v>1402974</v>
      </c>
      <c r="D32" s="9">
        <v>1387996</v>
      </c>
      <c r="E32" s="9">
        <v>1423935</v>
      </c>
      <c r="F32" s="9">
        <v>1455693</v>
      </c>
      <c r="G32" s="9">
        <v>1455693</v>
      </c>
      <c r="H32" s="9">
        <v>1520434</v>
      </c>
      <c r="I32" s="9">
        <v>1491795</v>
      </c>
      <c r="J32" s="9">
        <v>1336179</v>
      </c>
      <c r="K32" s="9">
        <v>1336179</v>
      </c>
      <c r="L32" s="12">
        <f t="shared" si="4"/>
        <v>1418160.5</v>
      </c>
    </row>
    <row r="33" spans="1:12" ht="15">
      <c r="A33" s="4" t="s">
        <v>7</v>
      </c>
      <c r="B33" s="9">
        <v>3019461</v>
      </c>
      <c r="C33" s="9">
        <v>3094933</v>
      </c>
      <c r="D33" s="9">
        <v>3144578</v>
      </c>
      <c r="E33" s="9">
        <v>3228261</v>
      </c>
      <c r="F33" s="9">
        <v>3318189</v>
      </c>
      <c r="G33" s="9">
        <v>3318189</v>
      </c>
      <c r="H33" s="9">
        <v>3485383</v>
      </c>
      <c r="I33" s="9">
        <v>3388235</v>
      </c>
      <c r="J33" s="9">
        <v>3553980</v>
      </c>
      <c r="K33" s="9">
        <v>3553980</v>
      </c>
      <c r="L33" s="12">
        <f t="shared" si="4"/>
        <v>3310518.9</v>
      </c>
    </row>
    <row r="34" spans="1:12" ht="15">
      <c r="A34" s="4" t="s">
        <v>8</v>
      </c>
      <c r="B34" s="9">
        <v>1193373</v>
      </c>
      <c r="C34" s="9">
        <v>1220655</v>
      </c>
      <c r="D34" s="9">
        <v>1198113</v>
      </c>
      <c r="E34" s="9">
        <v>1224600</v>
      </c>
      <c r="F34" s="9">
        <v>1252914</v>
      </c>
      <c r="G34" s="9">
        <v>1252914</v>
      </c>
      <c r="H34" s="9">
        <v>1305172</v>
      </c>
      <c r="I34" s="9">
        <v>1276398</v>
      </c>
      <c r="J34" s="9">
        <v>1104267</v>
      </c>
      <c r="K34" s="9">
        <v>1104267</v>
      </c>
      <c r="L34" s="12">
        <f t="shared" si="4"/>
        <v>1213267.3</v>
      </c>
    </row>
    <row r="35" spans="1:12" ht="15">
      <c r="A35" s="4" t="s">
        <v>9</v>
      </c>
      <c r="B35" s="9">
        <v>437349</v>
      </c>
      <c r="C35" s="9">
        <v>447283</v>
      </c>
      <c r="D35" s="9">
        <v>437928</v>
      </c>
      <c r="E35" s="9">
        <v>447464</v>
      </c>
      <c r="F35" s="9">
        <v>457650</v>
      </c>
      <c r="G35" s="9">
        <v>457650</v>
      </c>
      <c r="H35" s="9">
        <v>476443</v>
      </c>
      <c r="I35" s="9">
        <v>467290</v>
      </c>
      <c r="J35" s="9">
        <v>467007</v>
      </c>
      <c r="K35" s="9">
        <v>467007</v>
      </c>
      <c r="L35" s="12">
        <f t="shared" si="4"/>
        <v>456307.1</v>
      </c>
    </row>
    <row r="36" spans="1:12" ht="15">
      <c r="A36" s="4" t="s">
        <v>10</v>
      </c>
      <c r="B36" s="9">
        <v>1766212</v>
      </c>
      <c r="C36" s="9">
        <v>1806408</v>
      </c>
      <c r="D36" s="9">
        <v>1782711</v>
      </c>
      <c r="E36" s="9">
        <v>1822189</v>
      </c>
      <c r="F36" s="9">
        <v>1863362</v>
      </c>
      <c r="G36" s="9">
        <v>1863362</v>
      </c>
      <c r="H36" s="9">
        <v>1940123</v>
      </c>
      <c r="I36" s="9">
        <v>1894309</v>
      </c>
      <c r="J36" s="9">
        <v>1714757</v>
      </c>
      <c r="K36" s="9">
        <v>1714757</v>
      </c>
      <c r="L36" s="12">
        <f t="shared" si="4"/>
        <v>1816819</v>
      </c>
    </row>
    <row r="37" spans="1:12" ht="15">
      <c r="A37" s="4" t="s">
        <v>11</v>
      </c>
      <c r="B37" s="9">
        <v>379521</v>
      </c>
      <c r="C37" s="9">
        <v>388055</v>
      </c>
      <c r="D37" s="9">
        <v>381461</v>
      </c>
      <c r="E37" s="9">
        <v>389686</v>
      </c>
      <c r="F37" s="9">
        <v>398256</v>
      </c>
      <c r="G37" s="9">
        <v>398256</v>
      </c>
      <c r="H37" s="9">
        <v>414197</v>
      </c>
      <c r="I37" s="9">
        <v>407080</v>
      </c>
      <c r="J37" s="9">
        <v>309528</v>
      </c>
      <c r="K37" s="9">
        <v>309528</v>
      </c>
      <c r="L37" s="12">
        <f t="shared" si="4"/>
        <v>377556.8</v>
      </c>
    </row>
    <row r="38" spans="1:12" ht="15">
      <c r="A38" s="4" t="s">
        <v>12</v>
      </c>
      <c r="B38" s="9">
        <v>887383</v>
      </c>
      <c r="C38" s="9">
        <v>907494</v>
      </c>
      <c r="D38" s="9">
        <v>890922</v>
      </c>
      <c r="E38" s="9">
        <v>910030</v>
      </c>
      <c r="F38" s="9">
        <v>930507</v>
      </c>
      <c r="G38" s="9">
        <v>930507</v>
      </c>
      <c r="H38" s="9">
        <v>968414</v>
      </c>
      <c r="I38" s="9">
        <v>950495</v>
      </c>
      <c r="J38" s="9">
        <v>886036</v>
      </c>
      <c r="K38" s="9">
        <v>886036</v>
      </c>
      <c r="L38" s="12">
        <f t="shared" si="4"/>
        <v>914782.4</v>
      </c>
    </row>
    <row r="39" spans="1:12" ht="15">
      <c r="A39" s="4" t="s">
        <v>26</v>
      </c>
      <c r="B39" s="9">
        <v>670468</v>
      </c>
      <c r="C39" s="9">
        <v>685820</v>
      </c>
      <c r="D39" s="9">
        <v>684619</v>
      </c>
      <c r="E39" s="9">
        <v>699774</v>
      </c>
      <c r="F39" s="9">
        <v>716021</v>
      </c>
      <c r="G39" s="9">
        <v>716021</v>
      </c>
      <c r="H39" s="9">
        <v>746046</v>
      </c>
      <c r="I39" s="9">
        <v>732075</v>
      </c>
      <c r="J39" s="9">
        <v>746406</v>
      </c>
      <c r="K39" s="9">
        <v>746406</v>
      </c>
      <c r="L39" s="12">
        <f t="shared" si="4"/>
        <v>714365.6</v>
      </c>
    </row>
    <row r="40" spans="1:12" ht="15">
      <c r="A40" s="4" t="s">
        <v>14</v>
      </c>
      <c r="B40" s="9">
        <v>359297</v>
      </c>
      <c r="C40" s="9">
        <v>367433</v>
      </c>
      <c r="D40" s="9">
        <v>359235</v>
      </c>
      <c r="E40" s="9">
        <v>365231</v>
      </c>
      <c r="F40" s="9">
        <v>375310</v>
      </c>
      <c r="G40" s="9">
        <v>375310</v>
      </c>
      <c r="H40" s="9">
        <v>390656</v>
      </c>
      <c r="I40" s="9">
        <v>383202</v>
      </c>
      <c r="J40" s="9">
        <v>373577</v>
      </c>
      <c r="K40" s="9">
        <v>373577</v>
      </c>
      <c r="L40" s="12">
        <f t="shared" si="4"/>
        <v>372282.8</v>
      </c>
    </row>
    <row r="41" spans="1:12" ht="15">
      <c r="A41" s="4" t="s">
        <v>15</v>
      </c>
      <c r="B41" s="9">
        <v>1533496</v>
      </c>
      <c r="C41" s="9">
        <v>1568727</v>
      </c>
      <c r="D41" s="9">
        <v>1533680</v>
      </c>
      <c r="E41" s="9">
        <v>1567547</v>
      </c>
      <c r="F41" s="9">
        <v>1603659</v>
      </c>
      <c r="G41" s="9">
        <v>1603659</v>
      </c>
      <c r="H41" s="9">
        <v>1670569</v>
      </c>
      <c r="I41" s="9">
        <v>1636691</v>
      </c>
      <c r="J41" s="9">
        <v>1404997</v>
      </c>
      <c r="K41" s="9">
        <v>1404997</v>
      </c>
      <c r="L41" s="12">
        <f t="shared" si="4"/>
        <v>1552802.2</v>
      </c>
    </row>
    <row r="42" spans="1:12" ht="15">
      <c r="A42" s="4" t="s">
        <v>16</v>
      </c>
      <c r="B42" s="9">
        <v>568631</v>
      </c>
      <c r="C42" s="9">
        <v>581789</v>
      </c>
      <c r="D42" s="9">
        <v>569332</v>
      </c>
      <c r="E42" s="9">
        <v>582243</v>
      </c>
      <c r="F42" s="9">
        <v>595705</v>
      </c>
      <c r="G42" s="9">
        <v>595705</v>
      </c>
      <c r="H42" s="9">
        <v>621040</v>
      </c>
      <c r="I42" s="9">
        <v>607477</v>
      </c>
      <c r="J42" s="9">
        <v>592300</v>
      </c>
      <c r="K42" s="9">
        <v>592300</v>
      </c>
      <c r="L42" s="12">
        <f t="shared" si="4"/>
        <v>590652.19999999995</v>
      </c>
    </row>
    <row r="43" spans="1:12" ht="15">
      <c r="A43" s="4" t="s">
        <v>17</v>
      </c>
      <c r="B43" s="9">
        <v>461360</v>
      </c>
      <c r="C43" s="9">
        <v>471755</v>
      </c>
      <c r="D43" s="9">
        <v>466384</v>
      </c>
      <c r="E43" s="9">
        <v>476172</v>
      </c>
      <c r="F43" s="9">
        <v>487108</v>
      </c>
      <c r="G43" s="9">
        <v>487108</v>
      </c>
      <c r="H43" s="9">
        <v>506866</v>
      </c>
      <c r="I43" s="9">
        <v>496169</v>
      </c>
      <c r="J43" s="9">
        <v>339174</v>
      </c>
      <c r="K43" s="9">
        <v>339174</v>
      </c>
      <c r="L43" s="12">
        <f t="shared" si="4"/>
        <v>453127</v>
      </c>
    </row>
    <row r="44" spans="1:12" ht="15">
      <c r="A44" s="4" t="s">
        <v>18</v>
      </c>
      <c r="B44" s="9">
        <v>329277</v>
      </c>
      <c r="C44" s="9">
        <v>336957</v>
      </c>
      <c r="D44" s="9">
        <v>331773</v>
      </c>
      <c r="E44" s="9">
        <v>339198</v>
      </c>
      <c r="F44" s="9">
        <v>347494</v>
      </c>
      <c r="G44" s="9">
        <v>347494</v>
      </c>
      <c r="H44" s="9">
        <v>362580</v>
      </c>
      <c r="I44" s="9">
        <v>354667</v>
      </c>
      <c r="J44" s="9">
        <v>400806</v>
      </c>
      <c r="K44" s="9">
        <v>400806</v>
      </c>
      <c r="L44" s="12">
        <f t="shared" si="4"/>
        <v>355105.2</v>
      </c>
    </row>
    <row r="45" spans="1:12" ht="15">
      <c r="A45" s="4" t="s">
        <v>19</v>
      </c>
      <c r="B45" s="9">
        <v>165629</v>
      </c>
      <c r="C45" s="9">
        <v>169415</v>
      </c>
      <c r="D45" s="9">
        <v>165736</v>
      </c>
      <c r="E45" s="9">
        <v>169277</v>
      </c>
      <c r="F45" s="9">
        <v>173243</v>
      </c>
      <c r="G45" s="9">
        <v>173243</v>
      </c>
      <c r="H45" s="9">
        <v>180430</v>
      </c>
      <c r="I45" s="9">
        <v>176895</v>
      </c>
      <c r="J45" s="9">
        <v>195016</v>
      </c>
      <c r="K45" s="9">
        <v>195016</v>
      </c>
      <c r="L45" s="12">
        <f t="shared" si="4"/>
        <v>176390</v>
      </c>
    </row>
    <row r="46" spans="1:12" ht="15">
      <c r="A46" s="4" t="s">
        <v>20</v>
      </c>
      <c r="B46" s="9">
        <v>304392</v>
      </c>
      <c r="C46" s="9">
        <v>311133</v>
      </c>
      <c r="D46" s="9">
        <v>304177</v>
      </c>
      <c r="E46" s="9">
        <v>310453</v>
      </c>
      <c r="F46" s="9">
        <v>317070</v>
      </c>
      <c r="G46" s="9">
        <v>317070</v>
      </c>
      <c r="H46" s="9">
        <v>329289</v>
      </c>
      <c r="I46" s="9">
        <v>322581</v>
      </c>
      <c r="J46" s="9">
        <v>270266</v>
      </c>
      <c r="K46" s="9">
        <v>270266</v>
      </c>
      <c r="L46" s="12">
        <f t="shared" si="4"/>
        <v>305669.7</v>
      </c>
    </row>
    <row r="47" spans="1:12" ht="15">
      <c r="A47" s="5" t="s">
        <v>24</v>
      </c>
      <c r="B47" s="20">
        <f t="shared" ref="B47:K47" si="5">SUM(B27:B46)</f>
        <v>30770375</v>
      </c>
      <c r="C47" s="20">
        <f t="shared" si="5"/>
        <v>31521418</v>
      </c>
      <c r="D47" s="20">
        <f t="shared" si="5"/>
        <v>31742308</v>
      </c>
      <c r="E47" s="21">
        <f t="shared" si="5"/>
        <v>32552336</v>
      </c>
      <c r="F47" s="21">
        <f t="shared" si="5"/>
        <v>33413660</v>
      </c>
      <c r="G47" s="21">
        <f t="shared" si="5"/>
        <v>33413660</v>
      </c>
      <c r="H47" s="21">
        <f t="shared" si="5"/>
        <v>35013414</v>
      </c>
      <c r="I47" s="21">
        <f t="shared" si="5"/>
        <v>34165581</v>
      </c>
      <c r="J47" s="21">
        <f t="shared" si="5"/>
        <v>32175224</v>
      </c>
      <c r="K47" s="21">
        <f t="shared" si="5"/>
        <v>32175224</v>
      </c>
      <c r="L47" s="12">
        <f t="shared" si="4"/>
        <v>32694320</v>
      </c>
    </row>
    <row r="50" spans="1:14">
      <c r="A50" s="18" t="s">
        <v>29</v>
      </c>
      <c r="B50" s="19" t="s">
        <v>21</v>
      </c>
      <c r="C50" s="19" t="s">
        <v>30</v>
      </c>
      <c r="D50" s="19" t="s">
        <v>31</v>
      </c>
      <c r="E50" s="19" t="s">
        <v>32</v>
      </c>
      <c r="F50" s="19" t="s">
        <v>22</v>
      </c>
      <c r="G50" s="19" t="s">
        <v>33</v>
      </c>
      <c r="H50" s="19" t="s">
        <v>34</v>
      </c>
      <c r="I50" s="19" t="s">
        <v>35</v>
      </c>
      <c r="J50" s="19" t="s">
        <v>36</v>
      </c>
      <c r="K50" s="19" t="s">
        <v>37</v>
      </c>
      <c r="L50" s="19" t="s">
        <v>38</v>
      </c>
      <c r="M50" s="19" t="s">
        <v>39</v>
      </c>
      <c r="N50" s="18" t="s">
        <v>24</v>
      </c>
    </row>
    <row r="51" spans="1:14">
      <c r="A51" s="13">
        <v>2014</v>
      </c>
      <c r="B51" s="14">
        <v>17</v>
      </c>
      <c r="C51" s="14">
        <v>20</v>
      </c>
      <c r="D51" s="14">
        <v>17</v>
      </c>
      <c r="E51" s="14">
        <v>18</v>
      </c>
      <c r="F51" s="14">
        <v>16</v>
      </c>
      <c r="G51" s="14">
        <v>10</v>
      </c>
      <c r="H51" s="14">
        <v>4</v>
      </c>
      <c r="I51" s="14">
        <v>7</v>
      </c>
      <c r="J51" s="14">
        <v>5</v>
      </c>
      <c r="K51" s="14">
        <v>13</v>
      </c>
      <c r="L51" s="14">
        <v>13</v>
      </c>
      <c r="M51" s="14">
        <v>14</v>
      </c>
      <c r="N51" s="16">
        <f>SUM(B51:M51)</f>
        <v>154</v>
      </c>
    </row>
    <row r="52" spans="1:14">
      <c r="A52" s="13">
        <v>2015</v>
      </c>
      <c r="B52" s="14">
        <v>20</v>
      </c>
      <c r="C52" s="14">
        <v>6</v>
      </c>
      <c r="D52" s="14">
        <v>4</v>
      </c>
      <c r="E52" s="14">
        <v>38</v>
      </c>
      <c r="F52" s="14">
        <v>54</v>
      </c>
      <c r="G52" s="14">
        <v>51</v>
      </c>
      <c r="H52" s="14">
        <v>17</v>
      </c>
      <c r="I52" s="14">
        <v>15</v>
      </c>
      <c r="J52" s="14">
        <v>5</v>
      </c>
      <c r="K52" s="14">
        <v>5</v>
      </c>
      <c r="L52" s="14">
        <v>4</v>
      </c>
      <c r="M52" s="14">
        <v>0</v>
      </c>
      <c r="N52" s="16">
        <f t="shared" ref="N52:N60" si="6">SUM(B52:M52)</f>
        <v>219</v>
      </c>
    </row>
    <row r="53" spans="1:14">
      <c r="A53" s="13">
        <v>2016</v>
      </c>
      <c r="B53" s="14">
        <v>4</v>
      </c>
      <c r="C53" s="14">
        <v>9</v>
      </c>
      <c r="D53" s="14">
        <v>8</v>
      </c>
      <c r="E53" s="14">
        <v>4</v>
      </c>
      <c r="F53" s="14">
        <v>7</v>
      </c>
      <c r="G53" s="14">
        <v>6</v>
      </c>
      <c r="H53" s="14">
        <v>19</v>
      </c>
      <c r="I53" s="14">
        <v>23</v>
      </c>
      <c r="J53" s="14">
        <v>6</v>
      </c>
      <c r="K53" s="14">
        <v>12</v>
      </c>
      <c r="L53" s="14">
        <v>9</v>
      </c>
      <c r="M53" s="14">
        <v>18</v>
      </c>
      <c r="N53" s="16">
        <f t="shared" si="6"/>
        <v>125</v>
      </c>
    </row>
    <row r="54" spans="1:14">
      <c r="A54" s="13">
        <v>2017</v>
      </c>
      <c r="B54" s="14">
        <v>82</v>
      </c>
      <c r="C54" s="14">
        <v>84</v>
      </c>
      <c r="D54" s="14">
        <v>39</v>
      </c>
      <c r="E54" s="14">
        <v>26</v>
      </c>
      <c r="F54" s="14">
        <v>17</v>
      </c>
      <c r="G54" s="14">
        <v>8</v>
      </c>
      <c r="H54" s="14">
        <v>17</v>
      </c>
      <c r="I54" s="14">
        <v>13</v>
      </c>
      <c r="J54" s="14">
        <v>28</v>
      </c>
      <c r="K54" s="14">
        <v>27</v>
      </c>
      <c r="L54" s="14">
        <v>53</v>
      </c>
      <c r="M54" s="14">
        <v>63</v>
      </c>
      <c r="N54" s="16">
        <f t="shared" si="6"/>
        <v>457</v>
      </c>
    </row>
    <row r="55" spans="1:14">
      <c r="A55" s="13">
        <v>2018</v>
      </c>
      <c r="B55" s="14">
        <v>73</v>
      </c>
      <c r="C55" s="14">
        <v>105</v>
      </c>
      <c r="D55" s="14">
        <v>185</v>
      </c>
      <c r="E55" s="14">
        <v>251</v>
      </c>
      <c r="F55" s="14">
        <v>169</v>
      </c>
      <c r="G55" s="14">
        <v>73</v>
      </c>
      <c r="H55" s="14">
        <v>69</v>
      </c>
      <c r="I55" s="14">
        <v>34</v>
      </c>
      <c r="J55" s="14">
        <v>39</v>
      </c>
      <c r="K55" s="14">
        <v>52</v>
      </c>
      <c r="L55" s="14">
        <v>51</v>
      </c>
      <c r="M55" s="14">
        <v>55</v>
      </c>
      <c r="N55" s="16">
        <f t="shared" si="6"/>
        <v>1156</v>
      </c>
    </row>
    <row r="56" spans="1:14">
      <c r="A56" s="13">
        <v>2019</v>
      </c>
      <c r="B56" s="14">
        <v>292</v>
      </c>
      <c r="C56" s="14">
        <v>424</v>
      </c>
      <c r="D56" s="14">
        <v>157</v>
      </c>
      <c r="E56" s="14">
        <v>62</v>
      </c>
      <c r="F56" s="14">
        <v>19</v>
      </c>
      <c r="G56" s="14">
        <v>26</v>
      </c>
      <c r="H56" s="14">
        <v>14</v>
      </c>
      <c r="I56" s="14">
        <v>13</v>
      </c>
      <c r="J56" s="14">
        <v>1</v>
      </c>
      <c r="K56" s="14">
        <v>3</v>
      </c>
      <c r="L56" s="14">
        <v>12</v>
      </c>
      <c r="M56" s="14">
        <v>1</v>
      </c>
      <c r="N56" s="16">
        <f t="shared" si="6"/>
        <v>1024</v>
      </c>
    </row>
    <row r="57" spans="1:14">
      <c r="A57" s="13">
        <v>2020</v>
      </c>
      <c r="B57" s="14">
        <v>5</v>
      </c>
      <c r="C57" s="14">
        <v>8</v>
      </c>
      <c r="D57" s="14">
        <v>12</v>
      </c>
      <c r="E57" s="14">
        <v>7</v>
      </c>
      <c r="F57" s="14">
        <v>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1</v>
      </c>
      <c r="N57" s="16">
        <f t="shared" si="6"/>
        <v>34</v>
      </c>
    </row>
    <row r="58" spans="1:14">
      <c r="A58" s="13">
        <v>2021</v>
      </c>
      <c r="B58" s="14">
        <v>0</v>
      </c>
      <c r="C58" s="14">
        <v>1</v>
      </c>
      <c r="D58" s="14">
        <v>2</v>
      </c>
      <c r="E58" s="14">
        <v>0</v>
      </c>
      <c r="F58" s="14">
        <v>3</v>
      </c>
      <c r="G58" s="14">
        <v>3</v>
      </c>
      <c r="H58" s="14">
        <v>1</v>
      </c>
      <c r="I58" s="14">
        <v>1</v>
      </c>
      <c r="J58" s="14">
        <v>67</v>
      </c>
      <c r="K58" s="14">
        <v>123</v>
      </c>
      <c r="L58" s="14">
        <v>96</v>
      </c>
      <c r="M58" s="14">
        <v>30</v>
      </c>
      <c r="N58" s="16">
        <f t="shared" si="6"/>
        <v>327</v>
      </c>
    </row>
    <row r="59" spans="1:14">
      <c r="A59" s="13">
        <v>2022</v>
      </c>
      <c r="B59" s="14">
        <v>18</v>
      </c>
      <c r="C59" s="14">
        <v>3</v>
      </c>
      <c r="D59" s="14">
        <v>6</v>
      </c>
      <c r="E59" s="14">
        <v>1</v>
      </c>
      <c r="F59" s="14">
        <v>10</v>
      </c>
      <c r="G59" s="14">
        <v>33</v>
      </c>
      <c r="H59" s="14">
        <v>15</v>
      </c>
      <c r="I59" s="14">
        <v>39</v>
      </c>
      <c r="J59" s="14">
        <v>40</v>
      </c>
      <c r="K59" s="14">
        <v>20</v>
      </c>
      <c r="L59" s="14">
        <v>27</v>
      </c>
      <c r="M59" s="14">
        <v>35</v>
      </c>
      <c r="N59" s="16">
        <f t="shared" si="6"/>
        <v>247</v>
      </c>
    </row>
    <row r="60" spans="1:14">
      <c r="A60" s="13">
        <v>2023</v>
      </c>
      <c r="B60" s="14">
        <v>110</v>
      </c>
      <c r="C60" s="14">
        <v>161</v>
      </c>
      <c r="D60" s="14">
        <v>400</v>
      </c>
      <c r="E60" s="14">
        <v>351</v>
      </c>
      <c r="F60" s="14">
        <v>372</v>
      </c>
      <c r="G60" s="14">
        <v>243</v>
      </c>
      <c r="H60" s="14">
        <v>191</v>
      </c>
      <c r="I60" s="14">
        <v>152</v>
      </c>
      <c r="J60" s="14">
        <v>96</v>
      </c>
      <c r="K60" s="14">
        <v>71</v>
      </c>
      <c r="L60" s="14">
        <v>47</v>
      </c>
      <c r="M60" s="14">
        <v>60</v>
      </c>
      <c r="N60" s="16">
        <f t="shared" si="6"/>
        <v>2254</v>
      </c>
    </row>
    <row r="61" spans="1:14">
      <c r="A61" s="16" t="s">
        <v>40</v>
      </c>
      <c r="B61" s="17">
        <f>SUM(B51:B60)</f>
        <v>621</v>
      </c>
      <c r="C61" s="17">
        <f t="shared" ref="C61:N61" si="7">SUM(C51:C60)</f>
        <v>821</v>
      </c>
      <c r="D61" s="17">
        <f t="shared" si="7"/>
        <v>830</v>
      </c>
      <c r="E61" s="17">
        <f t="shared" si="7"/>
        <v>758</v>
      </c>
      <c r="F61" s="17">
        <f t="shared" si="7"/>
        <v>668</v>
      </c>
      <c r="G61" s="17">
        <f t="shared" si="7"/>
        <v>453</v>
      </c>
      <c r="H61" s="17">
        <f t="shared" si="7"/>
        <v>347</v>
      </c>
      <c r="I61" s="17">
        <f t="shared" si="7"/>
        <v>297</v>
      </c>
      <c r="J61" s="17">
        <f t="shared" si="7"/>
        <v>287</v>
      </c>
      <c r="K61" s="17">
        <f t="shared" si="7"/>
        <v>326</v>
      </c>
      <c r="L61" s="17">
        <f t="shared" si="7"/>
        <v>312</v>
      </c>
      <c r="M61" s="17">
        <f t="shared" si="7"/>
        <v>277</v>
      </c>
      <c r="N61" s="17">
        <f t="shared" si="7"/>
        <v>5997</v>
      </c>
    </row>
    <row r="62" spans="1:14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4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4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>
      <c r="A65" s="36" t="s">
        <v>41</v>
      </c>
      <c r="B65" s="36"/>
      <c r="C65" s="36"/>
      <c r="D65" s="36"/>
      <c r="E65" s="36"/>
      <c r="F65" s="36"/>
      <c r="G65" s="36"/>
      <c r="H65" s="7"/>
      <c r="I65" s="7"/>
      <c r="J65" s="7"/>
      <c r="K65" s="7"/>
    </row>
    <row r="66" spans="1:11">
      <c r="A66" s="23" t="s">
        <v>29</v>
      </c>
      <c r="B66" s="24" t="s">
        <v>42</v>
      </c>
      <c r="C66" s="24" t="s">
        <v>43</v>
      </c>
      <c r="D66" s="24" t="s">
        <v>44</v>
      </c>
      <c r="E66" s="24" t="s">
        <v>45</v>
      </c>
      <c r="F66" s="24" t="s">
        <v>46</v>
      </c>
      <c r="G66" s="23" t="s">
        <v>24</v>
      </c>
      <c r="H66" s="7"/>
      <c r="I66" s="7"/>
      <c r="J66" s="7"/>
      <c r="K66" s="7"/>
    </row>
    <row r="67" spans="1:11">
      <c r="A67" s="16">
        <v>2014</v>
      </c>
      <c r="B67" s="14">
        <v>33</v>
      </c>
      <c r="C67" s="14">
        <v>55</v>
      </c>
      <c r="D67" s="14">
        <v>26</v>
      </c>
      <c r="E67" s="14">
        <v>35</v>
      </c>
      <c r="F67" s="14">
        <v>5</v>
      </c>
      <c r="G67" s="26">
        <f>SUM(B67:F67)</f>
        <v>154</v>
      </c>
      <c r="H67" s="7"/>
      <c r="I67" s="7"/>
      <c r="J67" s="7"/>
      <c r="K67" s="7"/>
    </row>
    <row r="68" spans="1:11">
      <c r="A68" s="16">
        <v>2015</v>
      </c>
      <c r="B68" s="14">
        <v>65</v>
      </c>
      <c r="C68" s="14">
        <v>73</v>
      </c>
      <c r="D68" s="14">
        <v>21</v>
      </c>
      <c r="E68" s="14">
        <v>55</v>
      </c>
      <c r="F68" s="14">
        <v>5</v>
      </c>
      <c r="G68" s="26">
        <f t="shared" ref="G68:G76" si="8">SUM(B68:F68)</f>
        <v>219</v>
      </c>
      <c r="H68" s="7"/>
      <c r="I68" s="7"/>
      <c r="J68" s="7"/>
      <c r="K68" s="7"/>
    </row>
    <row r="69" spans="1:11">
      <c r="A69" s="16">
        <v>2016</v>
      </c>
      <c r="B69" s="14">
        <v>33</v>
      </c>
      <c r="C69" s="14">
        <v>43</v>
      </c>
      <c r="D69" s="14">
        <v>16</v>
      </c>
      <c r="E69" s="14">
        <v>28</v>
      </c>
      <c r="F69" s="14">
        <v>5</v>
      </c>
      <c r="G69" s="26">
        <f t="shared" si="8"/>
        <v>125</v>
      </c>
      <c r="H69" s="7"/>
      <c r="I69" s="7"/>
      <c r="J69" s="7"/>
      <c r="K69" s="7"/>
    </row>
    <row r="70" spans="1:11">
      <c r="A70" s="16">
        <v>2017</v>
      </c>
      <c r="B70" s="14">
        <v>164</v>
      </c>
      <c r="C70" s="14">
        <v>132</v>
      </c>
      <c r="D70" s="14">
        <v>58</v>
      </c>
      <c r="E70" s="14">
        <v>90</v>
      </c>
      <c r="F70" s="14">
        <v>13</v>
      </c>
      <c r="G70" s="26">
        <f t="shared" si="8"/>
        <v>457</v>
      </c>
      <c r="H70" s="7"/>
      <c r="I70" s="7"/>
      <c r="J70" s="7"/>
      <c r="K70" s="7"/>
    </row>
    <row r="71" spans="1:11">
      <c r="A71" s="16">
        <v>2018</v>
      </c>
      <c r="B71" s="14">
        <v>356</v>
      </c>
      <c r="C71" s="14">
        <v>436</v>
      </c>
      <c r="D71" s="14">
        <v>188</v>
      </c>
      <c r="E71" s="14">
        <v>170</v>
      </c>
      <c r="F71" s="14">
        <v>6</v>
      </c>
      <c r="G71" s="26">
        <f t="shared" si="8"/>
        <v>1156</v>
      </c>
      <c r="H71" s="7"/>
      <c r="I71" s="7"/>
      <c r="J71" s="7"/>
      <c r="K71" s="7"/>
    </row>
    <row r="72" spans="1:11">
      <c r="A72" s="16">
        <v>2019</v>
      </c>
      <c r="B72" s="14">
        <v>403</v>
      </c>
      <c r="C72" s="14">
        <v>391</v>
      </c>
      <c r="D72" s="14">
        <v>122</v>
      </c>
      <c r="E72" s="14">
        <v>97</v>
      </c>
      <c r="F72" s="14">
        <v>11</v>
      </c>
      <c r="G72" s="26">
        <f t="shared" si="8"/>
        <v>1024</v>
      </c>
      <c r="H72" s="7"/>
      <c r="I72" s="7"/>
      <c r="J72" s="7"/>
      <c r="K72" s="7"/>
    </row>
    <row r="73" spans="1:11">
      <c r="A73" s="16">
        <v>2020</v>
      </c>
      <c r="B73" s="14">
        <v>4</v>
      </c>
      <c r="C73" s="14">
        <v>14</v>
      </c>
      <c r="D73" s="14">
        <v>12</v>
      </c>
      <c r="E73" s="14">
        <v>4</v>
      </c>
      <c r="F73" s="14">
        <v>0</v>
      </c>
      <c r="G73" s="26">
        <f t="shared" si="8"/>
        <v>34</v>
      </c>
      <c r="H73" s="7"/>
      <c r="I73" s="7"/>
      <c r="J73" s="7"/>
      <c r="K73" s="7"/>
    </row>
    <row r="74" spans="1:11">
      <c r="A74" s="16">
        <v>2021</v>
      </c>
      <c r="B74" s="14">
        <v>94</v>
      </c>
      <c r="C74" s="14">
        <v>120</v>
      </c>
      <c r="D74" s="14">
        <v>25</v>
      </c>
      <c r="E74" s="14">
        <v>86</v>
      </c>
      <c r="F74" s="14">
        <v>2</v>
      </c>
      <c r="G74" s="26">
        <f t="shared" si="8"/>
        <v>327</v>
      </c>
      <c r="H74" s="7"/>
      <c r="I74" s="7"/>
      <c r="J74" s="7"/>
      <c r="K74" s="7"/>
    </row>
    <row r="75" spans="1:11">
      <c r="A75" s="16">
        <v>2022</v>
      </c>
      <c r="B75" s="14">
        <v>49</v>
      </c>
      <c r="C75" s="14">
        <v>88</v>
      </c>
      <c r="D75" s="14">
        <v>40</v>
      </c>
      <c r="E75" s="14">
        <v>68</v>
      </c>
      <c r="F75" s="14">
        <v>2</v>
      </c>
      <c r="G75" s="26">
        <f t="shared" si="8"/>
        <v>247</v>
      </c>
      <c r="H75" s="7"/>
      <c r="I75" s="7"/>
      <c r="J75" s="7"/>
      <c r="K75" s="7"/>
    </row>
    <row r="76" spans="1:11">
      <c r="A76" s="16">
        <v>2023</v>
      </c>
      <c r="B76" s="14">
        <v>561</v>
      </c>
      <c r="C76" s="14">
        <v>916</v>
      </c>
      <c r="D76" s="14">
        <v>565</v>
      </c>
      <c r="E76" s="14">
        <v>185</v>
      </c>
      <c r="F76" s="14">
        <v>27</v>
      </c>
      <c r="G76" s="26">
        <f t="shared" si="8"/>
        <v>2254</v>
      </c>
      <c r="H76" s="7"/>
      <c r="I76" s="7"/>
      <c r="J76" s="7"/>
      <c r="K76" s="7"/>
    </row>
    <row r="77" spans="1:11">
      <c r="A77" s="16" t="s">
        <v>24</v>
      </c>
      <c r="B77" s="17">
        <f>SUM(B67:B76)</f>
        <v>1762</v>
      </c>
      <c r="C77" s="17">
        <f t="shared" ref="C77:G77" si="9">SUM(C67:C76)</f>
        <v>2268</v>
      </c>
      <c r="D77" s="17">
        <f t="shared" si="9"/>
        <v>1073</v>
      </c>
      <c r="E77" s="17">
        <f t="shared" si="9"/>
        <v>818</v>
      </c>
      <c r="F77" s="17">
        <f t="shared" si="9"/>
        <v>76</v>
      </c>
      <c r="G77" s="27">
        <f t="shared" si="9"/>
        <v>5997</v>
      </c>
      <c r="H77" s="7"/>
      <c r="I77" s="7"/>
      <c r="J77" s="7"/>
      <c r="K77" s="7"/>
    </row>
    <row r="78" spans="1:11">
      <c r="A78" s="25"/>
      <c r="B78" s="8"/>
      <c r="C78" s="8"/>
      <c r="D78" s="8"/>
      <c r="E78" s="8"/>
      <c r="F78" s="8"/>
      <c r="G78" s="8"/>
      <c r="H78" s="7"/>
      <c r="I78" s="7"/>
      <c r="J78" s="7"/>
      <c r="K78" s="7"/>
    </row>
    <row r="79" spans="1:11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</row>
  </sheetData>
  <mergeCells count="2">
    <mergeCell ref="A25:K25"/>
    <mergeCell ref="A65:G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Sheet1!_Hlk199363325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Talal Abdulmalek SALLAM</cp:lastModifiedBy>
  <dcterms:modified xsi:type="dcterms:W3CDTF">2026-10-23T12:23:59Z</dcterms:modified>
</cp:coreProperties>
</file>